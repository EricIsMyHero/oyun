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E17C8C2-123B-45BF-A0C4-9C9E21044E15}" xr6:coauthVersionLast="47" xr6:coauthVersionMax="47" xr10:uidLastSave="{00000000-0000-0000-0000-000000000000}"/>
  <bookViews>
    <workbookView xWindow="-108" yWindow="-108" windowWidth="23256" windowHeight="12456" xr2:uid="{B2C911C9-373B-4C5A-B161-6DABD902C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D10" i="1"/>
  <c r="E10" i="1"/>
  <c r="G10" i="1"/>
  <c r="H10" i="1"/>
  <c r="I10" i="1"/>
  <c r="C11" i="1"/>
  <c r="G11" i="1" s="1"/>
  <c r="D11" i="1"/>
  <c r="I11" i="1" s="1"/>
  <c r="E11" i="1"/>
  <c r="C12" i="1"/>
  <c r="I12" i="1" s="1"/>
  <c r="D12" i="1"/>
  <c r="E12" i="1"/>
  <c r="G12" i="1"/>
  <c r="H12" i="1"/>
  <c r="C13" i="1"/>
  <c r="G13" i="1" s="1"/>
  <c r="D13" i="1"/>
  <c r="I13" i="1" s="1"/>
  <c r="E13" i="1"/>
  <c r="C14" i="1"/>
  <c r="I14" i="1" s="1"/>
  <c r="D14" i="1"/>
  <c r="E14" i="1"/>
  <c r="G14" i="1"/>
  <c r="H14" i="1"/>
  <c r="C15" i="1"/>
  <c r="G15" i="1" s="1"/>
  <c r="D15" i="1"/>
  <c r="I15" i="1" s="1"/>
  <c r="E15" i="1"/>
  <c r="C16" i="1"/>
  <c r="I16" i="1" s="1"/>
  <c r="D16" i="1"/>
  <c r="E16" i="1"/>
  <c r="G16" i="1"/>
  <c r="H16" i="1"/>
  <c r="C17" i="1"/>
  <c r="G17" i="1" s="1"/>
  <c r="D17" i="1"/>
  <c r="H17" i="1" s="1"/>
  <c r="E17" i="1"/>
  <c r="C18" i="1"/>
  <c r="I18" i="1" s="1"/>
  <c r="D18" i="1"/>
  <c r="E18" i="1"/>
  <c r="G18" i="1"/>
  <c r="H18" i="1"/>
  <c r="C19" i="1"/>
  <c r="H19" i="1" s="1"/>
  <c r="D19" i="1"/>
  <c r="I19" i="1" s="1"/>
  <c r="E19" i="1"/>
  <c r="C20" i="1"/>
  <c r="I20" i="1" s="1"/>
  <c r="D20" i="1"/>
  <c r="E20" i="1"/>
  <c r="G20" i="1"/>
  <c r="H20" i="1"/>
  <c r="C21" i="1"/>
  <c r="G21" i="1" s="1"/>
  <c r="D21" i="1"/>
  <c r="I21" i="1" s="1"/>
  <c r="E21" i="1"/>
  <c r="G22" i="1"/>
  <c r="H22" i="1"/>
  <c r="I22" i="1"/>
  <c r="H21" i="1" l="1"/>
  <c r="H13" i="1"/>
  <c r="H11" i="1"/>
  <c r="I17" i="1"/>
  <c r="H15" i="1"/>
  <c r="G19" i="1"/>
</calcChain>
</file>

<file path=xl/sharedStrings.xml><?xml version="1.0" encoding="utf-8"?>
<sst xmlns="http://schemas.openxmlformats.org/spreadsheetml/2006/main" count="359" uniqueCount="42">
  <si>
    <t>Relic chest</t>
  </si>
  <si>
    <t>Arcane sandıq</t>
  </si>
  <si>
    <t>Familiar chest</t>
  </si>
  <si>
    <t>Mana Points</t>
  </si>
  <si>
    <t>+50</t>
  </si>
  <si>
    <t>Per Cards Level Ups</t>
  </si>
  <si>
    <t>Mundane chest</t>
  </si>
  <si>
    <t>+75</t>
  </si>
  <si>
    <t>To Join Game</t>
  </si>
  <si>
    <t>Power Up Piece</t>
  </si>
  <si>
    <t>+225</t>
  </si>
  <si>
    <t>10-10+ Games Plays</t>
  </si>
  <si>
    <t>Tower Gear Piece</t>
  </si>
  <si>
    <t>+200</t>
  </si>
  <si>
    <t>8-9 Games Plays</t>
  </si>
  <si>
    <t>Dungeon Key</t>
  </si>
  <si>
    <t xml:space="preserve"> </t>
  </si>
  <si>
    <t>+175</t>
  </si>
  <si>
    <t>6-7 Games Plays</t>
  </si>
  <si>
    <t>Ruby Piece</t>
  </si>
  <si>
    <t>+150</t>
  </si>
  <si>
    <t>3-5 Games Plays</t>
  </si>
  <si>
    <t>Card Shard</t>
  </si>
  <si>
    <t>In First Week Players Can Reach 20th tier</t>
  </si>
  <si>
    <t>+125</t>
  </si>
  <si>
    <t>Per Games Lose</t>
  </si>
  <si>
    <t>Card Piece</t>
  </si>
  <si>
    <t xml:space="preserve">Everyday Players Can Reach 5 tier </t>
  </si>
  <si>
    <t>+250</t>
  </si>
  <si>
    <t>Per Games Win</t>
  </si>
  <si>
    <t>Gold</t>
  </si>
  <si>
    <t>Every Mana Pass Season Lasts 50 days</t>
  </si>
  <si>
    <t>Every Tier Needs 500 Mana Points</t>
  </si>
  <si>
    <t>Ümumi</t>
  </si>
  <si>
    <t>altın</t>
  </si>
  <si>
    <t>kart parçası</t>
  </si>
  <si>
    <t>arcane sandıq</t>
  </si>
  <si>
    <t>Every 1000 Mana Points</t>
  </si>
  <si>
    <t>+</t>
  </si>
  <si>
    <t>Mana Pass Plus</t>
  </si>
  <si>
    <t>Mana Pass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</si>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</sst>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  <xf numFmtId="49" fontId="0" fillId="0" borderId="2" xfId="0" applyNumberFormat="1" applyBorder="1" applyAlignment="1">
      <alignment horizontal="right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9D25-ABDF-4EB3-A6B5-76854E11F2A3}">
  <dimension ref="A1:DC23"/>
  <sheetViews>
    <sheetView tabSelected="1" workbookViewId="0">
      <selection activeCell="C7" sqref="C7"/>
    </sheetView>
  </sheetViews>
  <sheetFormatPr defaultRowHeight="14.4" x14ac:dyDescent="0.3"/>
  <cols>
    <col min="1" max="1" width="13.44140625" bestFit="1" customWidth="1"/>
    <col min="2" max="2" width="15.44140625" bestFit="1" customWidth="1"/>
    <col min="3" max="3" width="9.77734375" bestFit="1" customWidth="1"/>
    <col min="4" max="4" width="9.6640625" bestFit="1" customWidth="1"/>
    <col min="5" max="5" width="8.21875" bestFit="1" customWidth="1"/>
    <col min="6" max="7" width="9.77734375" bestFit="1" customWidth="1"/>
    <col min="8" max="8" width="13.5546875" bestFit="1" customWidth="1"/>
    <col min="9" max="9" width="9.6640625" bestFit="1" customWidth="1"/>
    <col min="10" max="10" width="9.77734375" bestFit="1" customWidth="1"/>
    <col min="11" max="12" width="15.44140625" bestFit="1" customWidth="1"/>
    <col min="13" max="13" width="13.5546875" bestFit="1" customWidth="1"/>
    <col min="14" max="14" width="11.109375" bestFit="1" customWidth="1"/>
    <col min="15" max="15" width="4.77734375" bestFit="1" customWidth="1"/>
    <col min="16" max="17" width="9.77734375" bestFit="1" customWidth="1"/>
    <col min="18" max="18" width="13.5546875" bestFit="1" customWidth="1"/>
    <col min="19" max="19" width="9.5546875" bestFit="1" customWidth="1"/>
    <col min="20" max="20" width="4.77734375" bestFit="1" customWidth="1"/>
    <col min="21" max="21" width="15.44140625" bestFit="1" customWidth="1"/>
    <col min="22" max="22" width="9.77734375" bestFit="1" customWidth="1"/>
    <col min="23" max="23" width="13.88671875" bestFit="1" customWidth="1"/>
    <col min="24" max="24" width="9.5546875" bestFit="1" customWidth="1"/>
    <col min="25" max="25" width="4.77734375" bestFit="1" customWidth="1"/>
    <col min="26" max="27" width="9.77734375" bestFit="1" customWidth="1"/>
    <col min="28" max="28" width="13.88671875" bestFit="1" customWidth="1"/>
    <col min="29" max="29" width="9.5546875" bestFit="1" customWidth="1"/>
    <col min="30" max="30" width="4.77734375" bestFit="1" customWidth="1"/>
    <col min="31" max="32" width="15.44140625" bestFit="1" customWidth="1"/>
    <col min="33" max="33" width="11.5546875" bestFit="1" customWidth="1"/>
    <col min="34" max="34" width="9.5546875" bestFit="1" customWidth="1"/>
    <col min="35" max="35" width="4.77734375" bestFit="1" customWidth="1"/>
    <col min="36" max="37" width="9.77734375" bestFit="1" customWidth="1"/>
    <col min="38" max="38" width="12.21875" bestFit="1" customWidth="1"/>
    <col min="39" max="39" width="9.5546875" bestFit="1" customWidth="1"/>
    <col min="40" max="40" width="4.77734375" bestFit="1" customWidth="1"/>
    <col min="41" max="42" width="15.44140625" bestFit="1" customWidth="1"/>
    <col min="43" max="43" width="13.88671875" bestFit="1" customWidth="1"/>
    <col min="44" max="44" width="9.5546875" bestFit="1" customWidth="1"/>
    <col min="45" max="45" width="4.77734375" bestFit="1" customWidth="1"/>
    <col min="46" max="46" width="9.77734375" bestFit="1" customWidth="1"/>
    <col min="47" max="47" width="11.5546875" bestFit="1" customWidth="1"/>
    <col min="48" max="48" width="13.88671875" bestFit="1" customWidth="1"/>
    <col min="49" max="49" width="9.5546875" bestFit="1" customWidth="1"/>
    <col min="50" max="50" width="4.77734375" bestFit="1" customWidth="1"/>
    <col min="51" max="52" width="15.44140625" bestFit="1" customWidth="1"/>
    <col min="53" max="53" width="9.77734375" bestFit="1" customWidth="1"/>
    <col min="54" max="54" width="9.5546875" bestFit="1" customWidth="1"/>
    <col min="55" max="55" width="4.77734375" bestFit="1" customWidth="1"/>
    <col min="56" max="57" width="15.44140625" bestFit="1" customWidth="1"/>
    <col min="58" max="58" width="11.5546875" bestFit="1" customWidth="1"/>
    <col min="59" max="59" width="9.5546875" bestFit="1" customWidth="1"/>
    <col min="60" max="60" width="4.77734375" bestFit="1" customWidth="1"/>
    <col min="61" max="62" width="9.77734375" bestFit="1" customWidth="1"/>
    <col min="63" max="63" width="13.88671875" bestFit="1" customWidth="1"/>
    <col min="64" max="64" width="9.5546875" bestFit="1" customWidth="1"/>
    <col min="65" max="65" width="4.77734375" bestFit="1" customWidth="1"/>
    <col min="66" max="67" width="15.44140625" bestFit="1" customWidth="1"/>
    <col min="68" max="68" width="12.21875" bestFit="1" customWidth="1"/>
    <col min="69" max="69" width="9.5546875" bestFit="1" customWidth="1"/>
    <col min="70" max="70" width="4.77734375" bestFit="1" customWidth="1"/>
    <col min="71" max="72" width="9.77734375" bestFit="1" customWidth="1"/>
    <col min="73" max="73" width="13.88671875" bestFit="1" customWidth="1"/>
    <col min="74" max="74" width="9.5546875" bestFit="1" customWidth="1"/>
    <col min="75" max="75" width="4.77734375" bestFit="1" customWidth="1"/>
    <col min="76" max="77" width="15.44140625" bestFit="1" customWidth="1"/>
    <col min="78" max="78" width="12.21875" bestFit="1" customWidth="1"/>
    <col min="79" max="79" width="9.5546875" bestFit="1" customWidth="1"/>
    <col min="80" max="80" width="4.77734375" bestFit="1" customWidth="1"/>
    <col min="81" max="81" width="9.77734375" bestFit="1" customWidth="1"/>
    <col min="82" max="82" width="15.44140625" bestFit="1" customWidth="1"/>
    <col min="83" max="83" width="11.5546875" bestFit="1" customWidth="1"/>
    <col min="84" max="84" width="9.5546875" bestFit="1" customWidth="1"/>
    <col min="85" max="85" width="4.77734375" bestFit="1" customWidth="1"/>
    <col min="86" max="86" width="15.44140625" bestFit="1" customWidth="1"/>
    <col min="87" max="87" width="9.77734375" bestFit="1" customWidth="1"/>
    <col min="88" max="88" width="12.21875" bestFit="1" customWidth="1"/>
    <col min="89" max="89" width="9.5546875" bestFit="1" customWidth="1"/>
    <col min="90" max="90" width="4.77734375" bestFit="1" customWidth="1"/>
    <col min="91" max="91" width="9.77734375" bestFit="1" customWidth="1"/>
    <col min="92" max="92" width="15.44140625" bestFit="1" customWidth="1"/>
    <col min="93" max="93" width="13.88671875" bestFit="1" customWidth="1"/>
    <col min="94" max="94" width="9.5546875" bestFit="1" customWidth="1"/>
    <col min="95" max="95" width="4.77734375" bestFit="1" customWidth="1"/>
    <col min="96" max="96" width="15.44140625" bestFit="1" customWidth="1"/>
    <col min="97" max="97" width="9.77734375" bestFit="1" customWidth="1"/>
    <col min="98" max="98" width="12.21875" bestFit="1" customWidth="1"/>
    <col min="99" max="99" width="9.5546875" bestFit="1" customWidth="1"/>
    <col min="100" max="100" width="4.77734375" bestFit="1" customWidth="1"/>
    <col min="101" max="101" width="9.77734375" bestFit="1" customWidth="1"/>
    <col min="102" max="102" width="9.5546875" bestFit="1" customWidth="1"/>
    <col min="103" max="103" width="4.77734375" bestFit="1" customWidth="1"/>
    <col min="104" max="104" width="2" bestFit="1" customWidth="1"/>
    <col min="105" max="105" width="10.44140625" bestFit="1" customWidth="1"/>
    <col min="106" max="106" width="4.5546875" bestFit="1" customWidth="1"/>
    <col min="107" max="107" width="20.6640625" bestFit="1" customWidth="1"/>
  </cols>
  <sheetData>
    <row r="1" spans="1:107" x14ac:dyDescent="0.3">
      <c r="A1" s="1"/>
      <c r="B1" s="1"/>
      <c r="C1" s="14">
        <v>0</v>
      </c>
      <c r="D1" s="14">
        <v>1</v>
      </c>
      <c r="E1" s="14">
        <v>2</v>
      </c>
      <c r="F1" s="14">
        <v>3</v>
      </c>
      <c r="G1" s="14">
        <v>4</v>
      </c>
      <c r="H1" s="14">
        <v>5</v>
      </c>
      <c r="I1" s="14">
        <v>6</v>
      </c>
      <c r="J1" s="14">
        <v>7</v>
      </c>
      <c r="K1" s="14">
        <v>8</v>
      </c>
      <c r="L1" s="14">
        <v>9</v>
      </c>
      <c r="M1" s="14">
        <v>10</v>
      </c>
      <c r="N1" s="14">
        <v>11</v>
      </c>
      <c r="O1" s="14">
        <v>12</v>
      </c>
      <c r="P1" s="14">
        <v>13</v>
      </c>
      <c r="Q1" s="14">
        <v>14</v>
      </c>
      <c r="R1" s="14">
        <v>15</v>
      </c>
      <c r="S1" s="14">
        <v>16</v>
      </c>
      <c r="T1" s="14">
        <v>17</v>
      </c>
      <c r="U1" s="14">
        <v>18</v>
      </c>
      <c r="V1" s="14">
        <v>19</v>
      </c>
      <c r="W1" s="14">
        <v>20</v>
      </c>
      <c r="X1" s="14">
        <v>21</v>
      </c>
      <c r="Y1" s="14">
        <v>22</v>
      </c>
      <c r="Z1" s="14">
        <v>23</v>
      </c>
      <c r="AA1" s="14">
        <v>24</v>
      </c>
      <c r="AB1" s="14">
        <v>25</v>
      </c>
      <c r="AC1" s="14">
        <v>26</v>
      </c>
      <c r="AD1" s="14">
        <v>27</v>
      </c>
      <c r="AE1" s="14">
        <v>28</v>
      </c>
      <c r="AF1" s="14">
        <v>29</v>
      </c>
      <c r="AG1" s="14">
        <v>30</v>
      </c>
      <c r="AH1" s="14">
        <v>31</v>
      </c>
      <c r="AI1" s="14">
        <v>32</v>
      </c>
      <c r="AJ1" s="14">
        <v>33</v>
      </c>
      <c r="AK1" s="14">
        <v>34</v>
      </c>
      <c r="AL1" s="14">
        <v>35</v>
      </c>
      <c r="AM1" s="14">
        <v>36</v>
      </c>
      <c r="AN1" s="14">
        <v>37</v>
      </c>
      <c r="AO1" s="14">
        <v>38</v>
      </c>
      <c r="AP1" s="14">
        <v>39</v>
      </c>
      <c r="AQ1" s="14">
        <v>40</v>
      </c>
      <c r="AR1" s="14">
        <v>41</v>
      </c>
      <c r="AS1" s="14">
        <v>42</v>
      </c>
      <c r="AT1" s="14">
        <v>43</v>
      </c>
      <c r="AU1" s="14">
        <v>44</v>
      </c>
      <c r="AV1" s="14">
        <v>45</v>
      </c>
      <c r="AW1" s="14">
        <v>46</v>
      </c>
      <c r="AX1" s="14">
        <v>47</v>
      </c>
      <c r="AY1" s="14">
        <v>48</v>
      </c>
      <c r="AZ1" s="14">
        <v>49</v>
      </c>
      <c r="BA1" s="14">
        <v>50</v>
      </c>
      <c r="BB1" s="14">
        <v>51</v>
      </c>
      <c r="BC1" s="14">
        <v>52</v>
      </c>
      <c r="BD1" s="14">
        <v>53</v>
      </c>
      <c r="BE1" s="14">
        <v>54</v>
      </c>
      <c r="BF1" s="14">
        <v>55</v>
      </c>
      <c r="BG1" s="14">
        <v>56</v>
      </c>
      <c r="BH1" s="14">
        <v>57</v>
      </c>
      <c r="BI1" s="14">
        <v>58</v>
      </c>
      <c r="BJ1" s="14">
        <v>59</v>
      </c>
      <c r="BK1" s="14">
        <v>60</v>
      </c>
      <c r="BL1" s="14">
        <v>61</v>
      </c>
      <c r="BM1" s="14">
        <v>62</v>
      </c>
      <c r="BN1" s="14">
        <v>63</v>
      </c>
      <c r="BO1" s="14">
        <v>64</v>
      </c>
      <c r="BP1" s="14">
        <v>65</v>
      </c>
      <c r="BQ1" s="14">
        <v>66</v>
      </c>
      <c r="BR1" s="14">
        <v>67</v>
      </c>
      <c r="BS1" s="14">
        <v>68</v>
      </c>
      <c r="BT1" s="14">
        <v>69</v>
      </c>
      <c r="BU1" s="14">
        <v>70</v>
      </c>
      <c r="BV1" s="14">
        <v>71</v>
      </c>
      <c r="BW1" s="14">
        <v>72</v>
      </c>
      <c r="BX1" s="14">
        <v>73</v>
      </c>
      <c r="BY1" s="14">
        <v>74</v>
      </c>
      <c r="BZ1" s="14">
        <v>75</v>
      </c>
      <c r="CA1" s="14">
        <v>76</v>
      </c>
      <c r="CB1" s="14">
        <v>77</v>
      </c>
      <c r="CC1" s="14">
        <v>78</v>
      </c>
      <c r="CD1" s="14">
        <v>79</v>
      </c>
      <c r="CE1" s="14">
        <v>80</v>
      </c>
      <c r="CF1" s="14">
        <v>81</v>
      </c>
      <c r="CG1" s="14">
        <v>82</v>
      </c>
      <c r="CH1" s="14">
        <v>83</v>
      </c>
      <c r="CI1" s="14">
        <v>84</v>
      </c>
      <c r="CJ1" s="14">
        <v>85</v>
      </c>
      <c r="CK1" s="14">
        <v>86</v>
      </c>
      <c r="CL1" s="14">
        <v>87</v>
      </c>
      <c r="CM1" s="14">
        <v>88</v>
      </c>
      <c r="CN1" s="14">
        <v>89</v>
      </c>
      <c r="CO1" s="14">
        <v>90</v>
      </c>
      <c r="CP1" s="14">
        <v>91</v>
      </c>
      <c r="CQ1" s="14">
        <v>92</v>
      </c>
      <c r="CR1" s="14">
        <v>93</v>
      </c>
      <c r="CS1" s="14">
        <v>94</v>
      </c>
      <c r="CT1" s="14">
        <v>95</v>
      </c>
      <c r="CU1" s="14">
        <v>96</v>
      </c>
      <c r="CV1" s="14">
        <v>97</v>
      </c>
      <c r="CW1" s="14">
        <v>98</v>
      </c>
      <c r="CX1" s="14">
        <v>99</v>
      </c>
      <c r="CY1" s="14">
        <v>100</v>
      </c>
      <c r="CZ1" s="1"/>
      <c r="DA1" s="1"/>
      <c r="DB1" s="1"/>
      <c r="DC1" s="1"/>
    </row>
    <row r="2" spans="1:107" x14ac:dyDescent="0.3">
      <c r="A2" s="13" t="s">
        <v>41</v>
      </c>
      <c r="B2" s="12">
        <v>0</v>
      </c>
      <c r="C2" s="1">
        <v>10</v>
      </c>
      <c r="D2" s="1">
        <v>75</v>
      </c>
      <c r="E2" s="1">
        <v>50</v>
      </c>
      <c r="F2" s="1">
        <v>2</v>
      </c>
      <c r="G2" s="1">
        <v>75</v>
      </c>
      <c r="H2" s="1">
        <v>1</v>
      </c>
      <c r="I2" s="1">
        <v>75</v>
      </c>
      <c r="J2" s="1">
        <v>2</v>
      </c>
      <c r="K2" s="1">
        <v>75</v>
      </c>
      <c r="L2" s="1">
        <v>2</v>
      </c>
      <c r="M2" s="1">
        <v>1</v>
      </c>
      <c r="N2" s="1">
        <v>75</v>
      </c>
      <c r="O2" s="1">
        <v>75</v>
      </c>
      <c r="P2" s="1">
        <v>2</v>
      </c>
      <c r="Q2" s="1">
        <v>75</v>
      </c>
      <c r="R2" s="1">
        <v>5</v>
      </c>
      <c r="S2" s="1">
        <v>75</v>
      </c>
      <c r="T2" s="1">
        <v>100</v>
      </c>
      <c r="U2" s="1">
        <v>2</v>
      </c>
      <c r="V2" s="1">
        <v>2</v>
      </c>
      <c r="W2" s="1">
        <v>1</v>
      </c>
      <c r="X2" s="1">
        <v>75</v>
      </c>
      <c r="Y2" s="1">
        <v>100</v>
      </c>
      <c r="Z2" s="1">
        <v>2</v>
      </c>
      <c r="AA2" s="1">
        <v>75</v>
      </c>
      <c r="AB2" s="1">
        <v>1</v>
      </c>
      <c r="AC2" s="1">
        <v>75</v>
      </c>
      <c r="AD2" s="1">
        <v>50</v>
      </c>
      <c r="AE2" s="1">
        <v>2</v>
      </c>
      <c r="AF2" s="1">
        <v>2</v>
      </c>
      <c r="AG2" s="1">
        <v>5</v>
      </c>
      <c r="AH2" s="1">
        <v>75</v>
      </c>
      <c r="AI2" s="1">
        <v>50</v>
      </c>
      <c r="AJ2" s="1">
        <v>2</v>
      </c>
      <c r="AK2" s="1">
        <v>75</v>
      </c>
      <c r="AL2" s="1">
        <v>1</v>
      </c>
      <c r="AM2" s="1">
        <v>75</v>
      </c>
      <c r="AN2" s="1">
        <v>50</v>
      </c>
      <c r="AO2" s="1">
        <v>2</v>
      </c>
      <c r="AP2" s="1">
        <v>2</v>
      </c>
      <c r="AQ2" s="1">
        <v>1</v>
      </c>
      <c r="AR2" s="1">
        <v>75</v>
      </c>
      <c r="AS2" s="1">
        <v>50</v>
      </c>
      <c r="AT2" s="1">
        <v>2</v>
      </c>
      <c r="AU2" s="1">
        <v>75</v>
      </c>
      <c r="AV2" s="1">
        <v>1</v>
      </c>
      <c r="AW2" s="1">
        <v>75</v>
      </c>
      <c r="AX2" s="1">
        <v>50</v>
      </c>
      <c r="AY2" s="1">
        <v>2</v>
      </c>
      <c r="AZ2" s="1">
        <v>2</v>
      </c>
      <c r="BA2" s="1">
        <v>10</v>
      </c>
      <c r="BB2" s="1">
        <v>75</v>
      </c>
      <c r="BC2" s="1">
        <v>50</v>
      </c>
      <c r="BD2" s="1">
        <v>2</v>
      </c>
      <c r="BE2" s="1">
        <v>2</v>
      </c>
      <c r="BF2" s="1">
        <v>1</v>
      </c>
      <c r="BG2" s="1">
        <v>75</v>
      </c>
      <c r="BH2" s="1">
        <v>50</v>
      </c>
      <c r="BI2" s="1">
        <v>2</v>
      </c>
      <c r="BJ2" s="1">
        <v>75</v>
      </c>
      <c r="BK2" s="1">
        <v>1</v>
      </c>
      <c r="BL2" s="1">
        <v>75</v>
      </c>
      <c r="BM2" s="1">
        <v>50</v>
      </c>
      <c r="BN2" s="1">
        <v>2</v>
      </c>
      <c r="BO2" s="1">
        <v>2</v>
      </c>
      <c r="BP2" s="1">
        <v>10</v>
      </c>
      <c r="BQ2" s="1">
        <v>75</v>
      </c>
      <c r="BR2" s="1">
        <v>50</v>
      </c>
      <c r="BS2" s="1">
        <v>2</v>
      </c>
      <c r="BT2" s="1">
        <v>75</v>
      </c>
      <c r="BU2" s="1">
        <v>1</v>
      </c>
      <c r="BV2" s="1">
        <v>75</v>
      </c>
      <c r="BW2" s="1">
        <v>50</v>
      </c>
      <c r="BX2" s="1">
        <v>2</v>
      </c>
      <c r="BY2" s="1">
        <v>2</v>
      </c>
      <c r="BZ2" s="1">
        <v>1</v>
      </c>
      <c r="CA2" s="1">
        <v>75</v>
      </c>
      <c r="CB2" s="1">
        <v>50</v>
      </c>
      <c r="CC2" s="1">
        <v>2</v>
      </c>
      <c r="CD2" s="1">
        <v>2</v>
      </c>
      <c r="CE2" s="1">
        <v>5</v>
      </c>
      <c r="CF2" s="1">
        <v>75</v>
      </c>
      <c r="CG2" s="1">
        <v>50</v>
      </c>
      <c r="CH2" s="1">
        <v>2</v>
      </c>
      <c r="CI2" s="1">
        <v>75</v>
      </c>
      <c r="CJ2" s="1">
        <v>1</v>
      </c>
      <c r="CK2" s="1">
        <v>75</v>
      </c>
      <c r="CL2" s="1">
        <v>50</v>
      </c>
      <c r="CM2" s="1">
        <v>2</v>
      </c>
      <c r="CN2" s="1">
        <v>2</v>
      </c>
      <c r="CO2" s="1">
        <v>5</v>
      </c>
      <c r="CP2" s="1">
        <v>75</v>
      </c>
      <c r="CQ2" s="1">
        <v>50</v>
      </c>
      <c r="CR2" s="1">
        <v>2</v>
      </c>
      <c r="CS2" s="1">
        <v>125</v>
      </c>
      <c r="CT2" s="1">
        <v>1</v>
      </c>
      <c r="CU2" s="1">
        <v>175</v>
      </c>
      <c r="CV2" s="1">
        <v>100</v>
      </c>
      <c r="CW2" s="1">
        <v>2</v>
      </c>
      <c r="CX2" s="1">
        <v>175</v>
      </c>
      <c r="CY2" s="1">
        <v>50</v>
      </c>
      <c r="CZ2" s="6" t="s">
        <v>38</v>
      </c>
      <c r="DA2" s="1">
        <v>250</v>
      </c>
      <c r="DB2" s="1">
        <v>125</v>
      </c>
      <c r="DC2" s="6" t="s">
        <v>37</v>
      </c>
    </row>
    <row r="3" spans="1:107" x14ac:dyDescent="0.3">
      <c r="A3" s="13"/>
      <c r="B3" s="12"/>
      <c r="C3" s="1" t="s">
        <v>19</v>
      </c>
      <c r="D3" s="1" t="s">
        <v>26</v>
      </c>
      <c r="E3" s="1" t="s">
        <v>30</v>
      </c>
      <c r="F3" s="1" t="s">
        <v>22</v>
      </c>
      <c r="G3" s="1" t="s">
        <v>26</v>
      </c>
      <c r="H3" s="1" t="s">
        <v>15</v>
      </c>
      <c r="I3" s="1" t="s">
        <v>30</v>
      </c>
      <c r="J3" s="1" t="s">
        <v>22</v>
      </c>
      <c r="K3" s="1" t="s">
        <v>26</v>
      </c>
      <c r="L3" s="1" t="s">
        <v>12</v>
      </c>
      <c r="M3" s="1" t="s">
        <v>6</v>
      </c>
      <c r="N3" s="1" t="s">
        <v>26</v>
      </c>
      <c r="O3" s="1" t="s">
        <v>30</v>
      </c>
      <c r="P3" s="1" t="s">
        <v>22</v>
      </c>
      <c r="Q3" s="1" t="s">
        <v>26</v>
      </c>
      <c r="R3" s="1" t="s">
        <v>19</v>
      </c>
      <c r="S3" s="1" t="s">
        <v>26</v>
      </c>
      <c r="T3" s="1" t="s">
        <v>30</v>
      </c>
      <c r="U3" s="1" t="s">
        <v>12</v>
      </c>
      <c r="V3" s="1" t="s">
        <v>22</v>
      </c>
      <c r="W3" s="1" t="s">
        <v>6</v>
      </c>
      <c r="X3" s="1" t="s">
        <v>26</v>
      </c>
      <c r="Y3" s="1" t="s">
        <v>30</v>
      </c>
      <c r="Z3" s="1" t="s">
        <v>22</v>
      </c>
      <c r="AA3" s="1" t="s">
        <v>26</v>
      </c>
      <c r="AB3" s="1" t="s">
        <v>9</v>
      </c>
      <c r="AC3" s="1" t="s">
        <v>26</v>
      </c>
      <c r="AD3" s="1" t="s">
        <v>30</v>
      </c>
      <c r="AE3" s="1" t="s">
        <v>22</v>
      </c>
      <c r="AF3" s="1" t="s">
        <v>12</v>
      </c>
      <c r="AG3" s="1" t="s">
        <v>19</v>
      </c>
      <c r="AH3" s="1" t="s">
        <v>26</v>
      </c>
      <c r="AI3" s="1" t="s">
        <v>30</v>
      </c>
      <c r="AJ3" s="1" t="s">
        <v>22</v>
      </c>
      <c r="AK3" s="1" t="s">
        <v>26</v>
      </c>
      <c r="AL3" s="1" t="s">
        <v>15</v>
      </c>
      <c r="AM3" s="1" t="s">
        <v>26</v>
      </c>
      <c r="AN3" s="1" t="s">
        <v>30</v>
      </c>
      <c r="AO3" s="1" t="s">
        <v>22</v>
      </c>
      <c r="AP3" s="1" t="s">
        <v>12</v>
      </c>
      <c r="AQ3" s="1" t="s">
        <v>6</v>
      </c>
      <c r="AR3" s="1" t="s">
        <v>26</v>
      </c>
      <c r="AS3" s="1" t="s">
        <v>30</v>
      </c>
      <c r="AT3" s="1" t="s">
        <v>22</v>
      </c>
      <c r="AU3" s="1" t="s">
        <v>26</v>
      </c>
      <c r="AV3" s="1" t="s">
        <v>9</v>
      </c>
      <c r="AW3" s="1" t="s">
        <v>26</v>
      </c>
      <c r="AX3" s="1" t="s">
        <v>30</v>
      </c>
      <c r="AY3" s="1" t="s">
        <v>22</v>
      </c>
      <c r="AZ3" s="1" t="s">
        <v>12</v>
      </c>
      <c r="BA3" s="1" t="s">
        <v>19</v>
      </c>
      <c r="BB3" s="1" t="s">
        <v>26</v>
      </c>
      <c r="BC3" s="1" t="s">
        <v>30</v>
      </c>
      <c r="BD3" s="1" t="s">
        <v>22</v>
      </c>
      <c r="BE3" s="1" t="s">
        <v>12</v>
      </c>
      <c r="BF3" s="1" t="s">
        <v>15</v>
      </c>
      <c r="BG3" s="1" t="s">
        <v>26</v>
      </c>
      <c r="BH3" s="1" t="s">
        <v>30</v>
      </c>
      <c r="BI3" s="1" t="s">
        <v>22</v>
      </c>
      <c r="BJ3" s="1" t="s">
        <v>26</v>
      </c>
      <c r="BK3" s="1" t="s">
        <v>2</v>
      </c>
      <c r="BL3" s="1" t="s">
        <v>26</v>
      </c>
      <c r="BM3" s="1" t="s">
        <v>30</v>
      </c>
      <c r="BN3" s="1" t="s">
        <v>22</v>
      </c>
      <c r="BO3" s="1" t="s">
        <v>12</v>
      </c>
      <c r="BP3" s="1" t="s">
        <v>19</v>
      </c>
      <c r="BQ3" s="1" t="s">
        <v>26</v>
      </c>
      <c r="BR3" s="1" t="s">
        <v>30</v>
      </c>
      <c r="BS3" s="1" t="s">
        <v>22</v>
      </c>
      <c r="BT3" s="1" t="s">
        <v>26</v>
      </c>
      <c r="BU3" s="1" t="s">
        <v>9</v>
      </c>
      <c r="BV3" s="1" t="s">
        <v>26</v>
      </c>
      <c r="BW3" s="1" t="s">
        <v>30</v>
      </c>
      <c r="BX3" s="1" t="s">
        <v>22</v>
      </c>
      <c r="BY3" s="1" t="s">
        <v>12</v>
      </c>
      <c r="BZ3" s="1" t="s">
        <v>2</v>
      </c>
      <c r="CA3" s="1" t="s">
        <v>26</v>
      </c>
      <c r="CB3" s="1" t="s">
        <v>30</v>
      </c>
      <c r="CC3" s="1" t="s">
        <v>22</v>
      </c>
      <c r="CD3" s="1" t="s">
        <v>12</v>
      </c>
      <c r="CE3" s="1" t="s">
        <v>19</v>
      </c>
      <c r="CF3" s="1" t="s">
        <v>26</v>
      </c>
      <c r="CG3" s="1" t="s">
        <v>30</v>
      </c>
      <c r="CH3" s="1" t="s">
        <v>22</v>
      </c>
      <c r="CI3" s="1" t="s">
        <v>26</v>
      </c>
      <c r="CJ3" s="1" t="s">
        <v>15</v>
      </c>
      <c r="CK3" s="1" t="s">
        <v>26</v>
      </c>
      <c r="CL3" s="1" t="s">
        <v>30</v>
      </c>
      <c r="CM3" s="1" t="s">
        <v>22</v>
      </c>
      <c r="CN3" s="1" t="s">
        <v>12</v>
      </c>
      <c r="CO3" s="1" t="s">
        <v>19</v>
      </c>
      <c r="CP3" s="1" t="s">
        <v>26</v>
      </c>
      <c r="CQ3" s="1" t="s">
        <v>30</v>
      </c>
      <c r="CR3" s="1" t="s">
        <v>22</v>
      </c>
      <c r="CS3" s="1" t="s">
        <v>26</v>
      </c>
      <c r="CT3" s="1" t="s">
        <v>15</v>
      </c>
      <c r="CU3" s="1" t="s">
        <v>26</v>
      </c>
      <c r="CV3" s="1" t="s">
        <v>30</v>
      </c>
      <c r="CW3" s="1" t="s">
        <v>22</v>
      </c>
      <c r="CX3" s="1" t="s">
        <v>26</v>
      </c>
      <c r="CY3" s="1" t="s">
        <v>30</v>
      </c>
      <c r="CZ3" s="6"/>
      <c r="DA3" s="1" t="s">
        <v>35</v>
      </c>
      <c r="DB3" s="1" t="s">
        <v>34</v>
      </c>
      <c r="DC3" s="6"/>
    </row>
    <row r="4" spans="1:107" x14ac:dyDescent="0.3">
      <c r="A4" s="13" t="s">
        <v>40</v>
      </c>
      <c r="B4" s="12">
        <v>5.99</v>
      </c>
      <c r="C4" s="1">
        <v>25</v>
      </c>
      <c r="D4" s="1">
        <v>100</v>
      </c>
      <c r="E4" s="1">
        <v>75</v>
      </c>
      <c r="F4" s="1">
        <v>5</v>
      </c>
      <c r="G4" s="1">
        <v>3</v>
      </c>
      <c r="H4" s="1">
        <v>1</v>
      </c>
      <c r="I4" s="1">
        <v>100</v>
      </c>
      <c r="J4" s="1">
        <v>75</v>
      </c>
      <c r="K4" s="1">
        <v>4</v>
      </c>
      <c r="L4" s="1">
        <v>3</v>
      </c>
      <c r="M4" s="1">
        <v>1</v>
      </c>
      <c r="N4" s="1">
        <v>100</v>
      </c>
      <c r="O4" s="1">
        <v>75</v>
      </c>
      <c r="P4" s="1">
        <v>5</v>
      </c>
      <c r="Q4" s="1">
        <v>3</v>
      </c>
      <c r="R4" s="1">
        <v>1</v>
      </c>
      <c r="S4" s="1">
        <v>100</v>
      </c>
      <c r="T4" s="1">
        <v>75</v>
      </c>
      <c r="U4" s="1">
        <v>4</v>
      </c>
      <c r="V4" s="1">
        <v>5</v>
      </c>
      <c r="W4" s="1">
        <v>1</v>
      </c>
      <c r="X4" s="1">
        <v>100</v>
      </c>
      <c r="Y4" s="1">
        <v>75</v>
      </c>
      <c r="Z4" s="1">
        <v>5</v>
      </c>
      <c r="AA4" s="1">
        <v>3</v>
      </c>
      <c r="AB4" s="1">
        <v>1</v>
      </c>
      <c r="AC4" s="1">
        <v>100</v>
      </c>
      <c r="AD4" s="1">
        <v>75</v>
      </c>
      <c r="AE4" s="1">
        <v>4</v>
      </c>
      <c r="AF4" s="1">
        <v>3</v>
      </c>
      <c r="AG4" s="1">
        <v>1</v>
      </c>
      <c r="AH4" s="1">
        <v>125</v>
      </c>
      <c r="AI4" s="1">
        <v>75</v>
      </c>
      <c r="AJ4" s="1">
        <v>5</v>
      </c>
      <c r="AK4" s="1">
        <v>3</v>
      </c>
      <c r="AL4" s="1">
        <v>1</v>
      </c>
      <c r="AM4" s="1">
        <v>100</v>
      </c>
      <c r="AN4" s="1">
        <v>75</v>
      </c>
      <c r="AO4" s="1">
        <v>4</v>
      </c>
      <c r="AP4" s="1">
        <v>3</v>
      </c>
      <c r="AQ4" s="1">
        <v>1</v>
      </c>
      <c r="AR4" s="1">
        <v>125</v>
      </c>
      <c r="AS4" s="1">
        <v>100</v>
      </c>
      <c r="AT4" s="1">
        <v>5</v>
      </c>
      <c r="AU4" s="1">
        <v>1</v>
      </c>
      <c r="AV4" s="1">
        <v>1</v>
      </c>
      <c r="AW4" s="1">
        <v>125</v>
      </c>
      <c r="AX4" s="1">
        <v>100</v>
      </c>
      <c r="AY4" s="1">
        <v>4</v>
      </c>
      <c r="AZ4" s="1">
        <v>3</v>
      </c>
      <c r="BA4" s="1">
        <v>5</v>
      </c>
      <c r="BB4" s="1">
        <v>200</v>
      </c>
      <c r="BC4" s="1">
        <v>75</v>
      </c>
      <c r="BD4" s="1">
        <v>2</v>
      </c>
      <c r="BE4" s="1">
        <v>3</v>
      </c>
      <c r="BF4" s="1">
        <v>1</v>
      </c>
      <c r="BG4" s="1">
        <v>175</v>
      </c>
      <c r="BH4" s="1">
        <v>75</v>
      </c>
      <c r="BI4" s="1">
        <v>5</v>
      </c>
      <c r="BJ4" s="1">
        <v>5</v>
      </c>
      <c r="BK4" s="1">
        <v>1</v>
      </c>
      <c r="BL4" s="1">
        <v>150</v>
      </c>
      <c r="BM4" s="1">
        <v>75</v>
      </c>
      <c r="BN4" s="1">
        <v>2</v>
      </c>
      <c r="BO4" s="1">
        <v>3</v>
      </c>
      <c r="BP4" s="1">
        <v>1</v>
      </c>
      <c r="BQ4" s="1">
        <v>150</v>
      </c>
      <c r="BR4" s="1">
        <v>75</v>
      </c>
      <c r="BS4" s="1">
        <v>5</v>
      </c>
      <c r="BT4" s="1">
        <v>5</v>
      </c>
      <c r="BU4" s="1">
        <v>1</v>
      </c>
      <c r="BV4" s="1">
        <v>225</v>
      </c>
      <c r="BW4" s="1">
        <v>75</v>
      </c>
      <c r="BX4" s="1">
        <v>2</v>
      </c>
      <c r="BY4" s="1">
        <v>5</v>
      </c>
      <c r="BZ4" s="1">
        <v>1</v>
      </c>
      <c r="CA4" s="1">
        <v>225</v>
      </c>
      <c r="CB4" s="1">
        <v>75</v>
      </c>
      <c r="CC4" s="1">
        <v>5</v>
      </c>
      <c r="CD4" s="1">
        <v>5</v>
      </c>
      <c r="CE4" s="1">
        <v>1</v>
      </c>
      <c r="CF4" s="1">
        <v>225</v>
      </c>
      <c r="CG4" s="1">
        <v>75</v>
      </c>
      <c r="CH4" s="1">
        <v>2</v>
      </c>
      <c r="CI4" s="1">
        <v>5</v>
      </c>
      <c r="CJ4" s="1">
        <v>1</v>
      </c>
      <c r="CK4" s="1">
        <v>225</v>
      </c>
      <c r="CL4" s="1">
        <v>75</v>
      </c>
      <c r="CM4" s="1">
        <v>5</v>
      </c>
      <c r="CN4" s="1">
        <v>5</v>
      </c>
      <c r="CO4" s="1">
        <v>1</v>
      </c>
      <c r="CP4" s="1">
        <v>150</v>
      </c>
      <c r="CQ4" s="1">
        <v>75</v>
      </c>
      <c r="CR4" s="1">
        <v>2</v>
      </c>
      <c r="CS4" s="1">
        <v>5</v>
      </c>
      <c r="CT4" s="1">
        <v>1</v>
      </c>
      <c r="CU4" s="1">
        <v>250</v>
      </c>
      <c r="CV4" s="1">
        <v>75</v>
      </c>
      <c r="CW4" s="1">
        <v>5</v>
      </c>
      <c r="CX4" s="1">
        <v>200</v>
      </c>
      <c r="CY4" s="1">
        <v>75</v>
      </c>
      <c r="CZ4" s="6" t="s">
        <v>38</v>
      </c>
      <c r="DA4" s="1">
        <v>500</v>
      </c>
      <c r="DB4" s="1">
        <v>250</v>
      </c>
      <c r="DC4" s="6" t="s">
        <v>37</v>
      </c>
    </row>
    <row r="5" spans="1:107" x14ac:dyDescent="0.3">
      <c r="A5" s="13"/>
      <c r="B5" s="12"/>
      <c r="C5" s="1" t="s">
        <v>19</v>
      </c>
      <c r="D5" s="1" t="s">
        <v>26</v>
      </c>
      <c r="E5" s="1" t="s">
        <v>30</v>
      </c>
      <c r="F5" s="1" t="s">
        <v>19</v>
      </c>
      <c r="G5" s="1" t="s">
        <v>22</v>
      </c>
      <c r="H5" s="1" t="s">
        <v>6</v>
      </c>
      <c r="I5" s="1" t="s">
        <v>26</v>
      </c>
      <c r="J5" s="1" t="s">
        <v>30</v>
      </c>
      <c r="K5" s="1" t="s">
        <v>12</v>
      </c>
      <c r="L5" s="1" t="s">
        <v>22</v>
      </c>
      <c r="M5" s="1" t="s">
        <v>15</v>
      </c>
      <c r="N5" s="1" t="s">
        <v>26</v>
      </c>
      <c r="O5" s="1" t="s">
        <v>30</v>
      </c>
      <c r="P5" s="1" t="s">
        <v>19</v>
      </c>
      <c r="Q5" s="1" t="s">
        <v>22</v>
      </c>
      <c r="R5" s="1" t="s">
        <v>6</v>
      </c>
      <c r="S5" s="1" t="s">
        <v>26</v>
      </c>
      <c r="T5" s="1" t="s">
        <v>30</v>
      </c>
      <c r="U5" s="1" t="s">
        <v>12</v>
      </c>
      <c r="V5" s="1" t="s">
        <v>22</v>
      </c>
      <c r="W5" s="1" t="s">
        <v>9</v>
      </c>
      <c r="X5" s="1" t="s">
        <v>26</v>
      </c>
      <c r="Y5" s="1" t="s">
        <v>30</v>
      </c>
      <c r="Z5" s="1" t="s">
        <v>19</v>
      </c>
      <c r="AA5" s="1" t="s">
        <v>22</v>
      </c>
      <c r="AB5" s="1" t="s">
        <v>2</v>
      </c>
      <c r="AC5" s="1" t="s">
        <v>26</v>
      </c>
      <c r="AD5" s="1" t="s">
        <v>30</v>
      </c>
      <c r="AE5" s="1" t="s">
        <v>12</v>
      </c>
      <c r="AF5" s="1" t="s">
        <v>22</v>
      </c>
      <c r="AG5" s="1" t="s">
        <v>15</v>
      </c>
      <c r="AH5" s="1" t="s">
        <v>26</v>
      </c>
      <c r="AI5" s="1" t="s">
        <v>30</v>
      </c>
      <c r="AJ5" s="1" t="s">
        <v>19</v>
      </c>
      <c r="AK5" s="1" t="s">
        <v>22</v>
      </c>
      <c r="AL5" s="1" t="s">
        <v>2</v>
      </c>
      <c r="AM5" s="1" t="s">
        <v>26</v>
      </c>
      <c r="AN5" s="1" t="s">
        <v>30</v>
      </c>
      <c r="AO5" s="1" t="s">
        <v>12</v>
      </c>
      <c r="AP5" s="1" t="s">
        <v>22</v>
      </c>
      <c r="AQ5" s="1" t="s">
        <v>9</v>
      </c>
      <c r="AR5" s="1" t="s">
        <v>26</v>
      </c>
      <c r="AS5" s="1" t="s">
        <v>30</v>
      </c>
      <c r="AT5" s="1" t="s">
        <v>19</v>
      </c>
      <c r="AU5" s="1" t="s">
        <v>15</v>
      </c>
      <c r="AV5" s="1" t="s">
        <v>2</v>
      </c>
      <c r="AW5" s="1" t="s">
        <v>26</v>
      </c>
      <c r="AX5" s="1" t="s">
        <v>30</v>
      </c>
      <c r="AY5" s="1" t="s">
        <v>12</v>
      </c>
      <c r="AZ5" s="1" t="s">
        <v>22</v>
      </c>
      <c r="BA5" s="1" t="s">
        <v>19</v>
      </c>
      <c r="BB5" s="1" t="s">
        <v>26</v>
      </c>
      <c r="BC5" s="1" t="s">
        <v>30</v>
      </c>
      <c r="BD5" s="1" t="s">
        <v>12</v>
      </c>
      <c r="BE5" s="1" t="s">
        <v>22</v>
      </c>
      <c r="BF5" s="1" t="s">
        <v>15</v>
      </c>
      <c r="BG5" s="1" t="s">
        <v>26</v>
      </c>
      <c r="BH5" s="1" t="s">
        <v>30</v>
      </c>
      <c r="BI5" s="1" t="s">
        <v>19</v>
      </c>
      <c r="BJ5" s="1" t="s">
        <v>22</v>
      </c>
      <c r="BK5" s="1" t="s">
        <v>9</v>
      </c>
      <c r="BL5" s="1" t="s">
        <v>26</v>
      </c>
      <c r="BM5" s="1" t="s">
        <v>30</v>
      </c>
      <c r="BN5" s="1" t="s">
        <v>12</v>
      </c>
      <c r="BO5" s="1" t="s">
        <v>22</v>
      </c>
      <c r="BP5" s="1" t="s">
        <v>36</v>
      </c>
      <c r="BQ5" s="1" t="s">
        <v>26</v>
      </c>
      <c r="BR5" s="1" t="s">
        <v>30</v>
      </c>
      <c r="BS5" s="1" t="s">
        <v>19</v>
      </c>
      <c r="BT5" s="1" t="s">
        <v>22</v>
      </c>
      <c r="BU5" s="1" t="s">
        <v>9</v>
      </c>
      <c r="BV5" s="1" t="s">
        <v>26</v>
      </c>
      <c r="BW5" s="1" t="s">
        <v>30</v>
      </c>
      <c r="BX5" s="1" t="s">
        <v>12</v>
      </c>
      <c r="BY5" s="1" t="s">
        <v>22</v>
      </c>
      <c r="BZ5" s="1" t="s">
        <v>36</v>
      </c>
      <c r="CA5" s="1" t="s">
        <v>26</v>
      </c>
      <c r="CB5" s="1" t="s">
        <v>30</v>
      </c>
      <c r="CC5" s="1" t="s">
        <v>19</v>
      </c>
      <c r="CD5" s="1" t="s">
        <v>22</v>
      </c>
      <c r="CE5" s="1" t="s">
        <v>15</v>
      </c>
      <c r="CF5" s="1" t="s">
        <v>26</v>
      </c>
      <c r="CG5" s="1" t="s">
        <v>30</v>
      </c>
      <c r="CH5" s="1" t="s">
        <v>12</v>
      </c>
      <c r="CI5" s="1" t="s">
        <v>22</v>
      </c>
      <c r="CJ5" s="1" t="s">
        <v>36</v>
      </c>
      <c r="CK5" s="1" t="s">
        <v>26</v>
      </c>
      <c r="CL5" s="1" t="s">
        <v>30</v>
      </c>
      <c r="CM5" s="1" t="s">
        <v>19</v>
      </c>
      <c r="CN5" s="1" t="s">
        <v>22</v>
      </c>
      <c r="CO5" s="1" t="s">
        <v>9</v>
      </c>
      <c r="CP5" s="1" t="s">
        <v>26</v>
      </c>
      <c r="CQ5" s="1" t="s">
        <v>30</v>
      </c>
      <c r="CR5" s="1" t="s">
        <v>12</v>
      </c>
      <c r="CS5" s="1" t="s">
        <v>22</v>
      </c>
      <c r="CT5" s="1" t="s">
        <v>36</v>
      </c>
      <c r="CU5" s="1" t="s">
        <v>26</v>
      </c>
      <c r="CV5" s="1" t="s">
        <v>30</v>
      </c>
      <c r="CW5" s="1" t="s">
        <v>19</v>
      </c>
      <c r="CX5" s="1" t="s">
        <v>26</v>
      </c>
      <c r="CY5" s="1" t="s">
        <v>30</v>
      </c>
      <c r="CZ5" s="6"/>
      <c r="DA5" s="1" t="s">
        <v>35</v>
      </c>
      <c r="DB5" s="1" t="s">
        <v>34</v>
      </c>
      <c r="DC5" s="6"/>
    </row>
    <row r="6" spans="1:107" x14ac:dyDescent="0.3">
      <c r="A6" s="13" t="s">
        <v>39</v>
      </c>
      <c r="B6" s="12">
        <v>11.99</v>
      </c>
      <c r="C6" s="1">
        <v>50</v>
      </c>
      <c r="D6" s="1">
        <v>125</v>
      </c>
      <c r="E6" s="1">
        <v>125</v>
      </c>
      <c r="F6" s="1">
        <v>5</v>
      </c>
      <c r="G6" s="1">
        <v>5</v>
      </c>
      <c r="H6" s="1">
        <v>5</v>
      </c>
      <c r="I6" s="1">
        <v>125</v>
      </c>
      <c r="J6" s="1">
        <v>125</v>
      </c>
      <c r="K6" s="1">
        <v>6</v>
      </c>
      <c r="L6" s="1">
        <v>5</v>
      </c>
      <c r="M6" s="1">
        <v>1</v>
      </c>
      <c r="N6" s="1">
        <v>125</v>
      </c>
      <c r="O6" s="1">
        <v>125</v>
      </c>
      <c r="P6" s="1">
        <v>5</v>
      </c>
      <c r="Q6" s="1">
        <v>5</v>
      </c>
      <c r="R6" s="1">
        <v>5</v>
      </c>
      <c r="S6" s="1">
        <v>100</v>
      </c>
      <c r="T6" s="1">
        <v>75</v>
      </c>
      <c r="U6" s="1">
        <v>2</v>
      </c>
      <c r="V6" s="1">
        <v>5</v>
      </c>
      <c r="W6" s="1">
        <v>1</v>
      </c>
      <c r="X6" s="1">
        <v>100</v>
      </c>
      <c r="Y6" s="1">
        <v>75</v>
      </c>
      <c r="Z6" s="1">
        <v>5</v>
      </c>
      <c r="AA6" s="1">
        <v>5</v>
      </c>
      <c r="AB6" s="1">
        <v>75</v>
      </c>
      <c r="AC6" s="1">
        <v>125</v>
      </c>
      <c r="AD6" s="1">
        <v>75</v>
      </c>
      <c r="AE6" s="1">
        <v>4</v>
      </c>
      <c r="AF6" s="1">
        <v>5</v>
      </c>
      <c r="AG6" s="1">
        <v>1</v>
      </c>
      <c r="AH6" s="1">
        <v>125</v>
      </c>
      <c r="AI6" s="1">
        <v>75</v>
      </c>
      <c r="AJ6" s="1">
        <v>5</v>
      </c>
      <c r="AK6" s="1">
        <v>5</v>
      </c>
      <c r="AL6" s="1">
        <v>1</v>
      </c>
      <c r="AM6" s="1">
        <v>125</v>
      </c>
      <c r="AN6" s="1">
        <v>100</v>
      </c>
      <c r="AO6" s="1">
        <v>2</v>
      </c>
      <c r="AP6" s="1">
        <v>5</v>
      </c>
      <c r="AQ6" s="1">
        <v>1</v>
      </c>
      <c r="AR6" s="1">
        <v>150</v>
      </c>
      <c r="AS6" s="1">
        <v>125</v>
      </c>
      <c r="AT6" s="1">
        <v>5</v>
      </c>
      <c r="AU6" s="1">
        <v>1</v>
      </c>
      <c r="AV6" s="1">
        <v>1</v>
      </c>
      <c r="AW6" s="1">
        <v>125</v>
      </c>
      <c r="AX6" s="1">
        <v>100</v>
      </c>
      <c r="AY6" s="1">
        <v>6</v>
      </c>
      <c r="AZ6" s="1">
        <v>5</v>
      </c>
      <c r="BA6" s="1">
        <v>10</v>
      </c>
      <c r="BB6" s="1">
        <v>250</v>
      </c>
      <c r="BC6" s="1">
        <v>75</v>
      </c>
      <c r="BD6" s="1">
        <v>6</v>
      </c>
      <c r="BE6" s="1">
        <v>5</v>
      </c>
      <c r="BF6" s="1">
        <v>1</v>
      </c>
      <c r="BG6" s="1">
        <v>200</v>
      </c>
      <c r="BH6" s="1">
        <v>75</v>
      </c>
      <c r="BI6" s="1">
        <v>5</v>
      </c>
      <c r="BJ6" s="1">
        <v>5</v>
      </c>
      <c r="BK6" s="1">
        <v>1</v>
      </c>
      <c r="BL6" s="1">
        <v>175</v>
      </c>
      <c r="BM6" s="1">
        <v>75</v>
      </c>
      <c r="BN6" s="1">
        <v>6</v>
      </c>
      <c r="BO6" s="1">
        <v>5</v>
      </c>
      <c r="BP6" s="1">
        <v>1</v>
      </c>
      <c r="BQ6" s="1">
        <v>175</v>
      </c>
      <c r="BR6" s="1">
        <v>75</v>
      </c>
      <c r="BS6" s="1">
        <v>5</v>
      </c>
      <c r="BT6" s="1">
        <v>5</v>
      </c>
      <c r="BU6" s="1">
        <v>1</v>
      </c>
      <c r="BV6" s="1">
        <v>250</v>
      </c>
      <c r="BW6" s="1">
        <v>75</v>
      </c>
      <c r="BX6" s="1">
        <v>6</v>
      </c>
      <c r="BY6" s="1">
        <v>5</v>
      </c>
      <c r="BZ6" s="1">
        <v>1</v>
      </c>
      <c r="CA6" s="1">
        <v>250</v>
      </c>
      <c r="CB6" s="1">
        <v>75</v>
      </c>
      <c r="CC6" s="1">
        <v>5</v>
      </c>
      <c r="CD6" s="1">
        <v>5</v>
      </c>
      <c r="CE6" s="1">
        <v>1</v>
      </c>
      <c r="CF6" s="1">
        <v>250</v>
      </c>
      <c r="CG6" s="1">
        <v>100</v>
      </c>
      <c r="CH6" s="1">
        <v>6</v>
      </c>
      <c r="CI6" s="1">
        <v>5</v>
      </c>
      <c r="CJ6" s="1">
        <v>1</v>
      </c>
      <c r="CK6" s="1">
        <v>250</v>
      </c>
      <c r="CL6" s="1">
        <v>100</v>
      </c>
      <c r="CM6" s="1">
        <v>5</v>
      </c>
      <c r="CN6" s="1">
        <v>5</v>
      </c>
      <c r="CO6" s="1">
        <v>1</v>
      </c>
      <c r="CP6" s="1">
        <v>175</v>
      </c>
      <c r="CQ6" s="1">
        <v>75</v>
      </c>
      <c r="CR6" s="1">
        <v>6</v>
      </c>
      <c r="CS6" s="1">
        <v>5</v>
      </c>
      <c r="CT6" s="1">
        <v>1</v>
      </c>
      <c r="CU6" s="1">
        <v>275</v>
      </c>
      <c r="CV6" s="1">
        <v>75</v>
      </c>
      <c r="CW6" s="1">
        <v>5</v>
      </c>
      <c r="CX6" s="1">
        <v>200</v>
      </c>
      <c r="CY6" s="1">
        <v>75</v>
      </c>
      <c r="CZ6" s="6" t="s">
        <v>38</v>
      </c>
      <c r="DA6" s="1">
        <v>750</v>
      </c>
      <c r="DB6" s="1">
        <v>375</v>
      </c>
      <c r="DC6" s="6" t="s">
        <v>37</v>
      </c>
    </row>
    <row r="7" spans="1:107" x14ac:dyDescent="0.3">
      <c r="A7" s="13"/>
      <c r="B7" s="12"/>
      <c r="C7" s="1" t="s">
        <v>19</v>
      </c>
      <c r="D7" s="1" t="s">
        <v>26</v>
      </c>
      <c r="E7" s="1" t="s">
        <v>30</v>
      </c>
      <c r="F7" s="1" t="s">
        <v>19</v>
      </c>
      <c r="G7" s="1" t="s">
        <v>22</v>
      </c>
      <c r="H7" s="1" t="s">
        <v>19</v>
      </c>
      <c r="I7" s="1" t="s">
        <v>26</v>
      </c>
      <c r="J7" s="1" t="s">
        <v>30</v>
      </c>
      <c r="K7" s="1" t="s">
        <v>12</v>
      </c>
      <c r="L7" s="1" t="s">
        <v>22</v>
      </c>
      <c r="M7" s="1" t="s">
        <v>15</v>
      </c>
      <c r="N7" s="1" t="s">
        <v>26</v>
      </c>
      <c r="O7" s="1" t="s">
        <v>30</v>
      </c>
      <c r="P7" s="1" t="s">
        <v>19</v>
      </c>
      <c r="Q7" s="1" t="s">
        <v>22</v>
      </c>
      <c r="R7" s="1" t="s">
        <v>19</v>
      </c>
      <c r="S7" s="1" t="s">
        <v>26</v>
      </c>
      <c r="T7" s="1" t="s">
        <v>30</v>
      </c>
      <c r="U7" s="1" t="s">
        <v>12</v>
      </c>
      <c r="V7" s="1" t="s">
        <v>22</v>
      </c>
      <c r="W7" s="1" t="s">
        <v>9</v>
      </c>
      <c r="X7" s="1" t="s">
        <v>26</v>
      </c>
      <c r="Y7" s="1" t="s">
        <v>30</v>
      </c>
      <c r="Z7" s="1" t="s">
        <v>19</v>
      </c>
      <c r="AA7" s="1" t="s">
        <v>22</v>
      </c>
      <c r="AB7" s="1" t="s">
        <v>26</v>
      </c>
      <c r="AC7" s="1" t="s">
        <v>26</v>
      </c>
      <c r="AD7" s="1" t="s">
        <v>30</v>
      </c>
      <c r="AE7" s="1" t="s">
        <v>12</v>
      </c>
      <c r="AF7" s="1" t="s">
        <v>22</v>
      </c>
      <c r="AG7" s="1" t="s">
        <v>15</v>
      </c>
      <c r="AH7" s="1" t="s">
        <v>26</v>
      </c>
      <c r="AI7" s="1" t="s">
        <v>30</v>
      </c>
      <c r="AJ7" s="1" t="s">
        <v>19</v>
      </c>
      <c r="AK7" s="1" t="s">
        <v>22</v>
      </c>
      <c r="AL7" s="1" t="s">
        <v>0</v>
      </c>
      <c r="AM7" s="1" t="s">
        <v>26</v>
      </c>
      <c r="AN7" s="1" t="s">
        <v>30</v>
      </c>
      <c r="AO7" s="1" t="s">
        <v>12</v>
      </c>
      <c r="AP7" s="1" t="s">
        <v>22</v>
      </c>
      <c r="AQ7" s="1" t="s">
        <v>9</v>
      </c>
      <c r="AR7" s="1" t="s">
        <v>26</v>
      </c>
      <c r="AS7" s="1" t="s">
        <v>30</v>
      </c>
      <c r="AT7" s="1" t="s">
        <v>19</v>
      </c>
      <c r="AU7" s="1" t="s">
        <v>15</v>
      </c>
      <c r="AV7" s="1" t="s">
        <v>0</v>
      </c>
      <c r="AW7" s="1" t="s">
        <v>26</v>
      </c>
      <c r="AX7" s="1" t="s">
        <v>30</v>
      </c>
      <c r="AY7" s="1" t="s">
        <v>12</v>
      </c>
      <c r="AZ7" s="1" t="s">
        <v>22</v>
      </c>
      <c r="BA7" s="1" t="s">
        <v>19</v>
      </c>
      <c r="BB7" s="1" t="s">
        <v>26</v>
      </c>
      <c r="BC7" s="1" t="s">
        <v>30</v>
      </c>
      <c r="BD7" s="1" t="s">
        <v>12</v>
      </c>
      <c r="BE7" s="1" t="s">
        <v>22</v>
      </c>
      <c r="BF7" s="1" t="s">
        <v>15</v>
      </c>
      <c r="BG7" s="1" t="s">
        <v>26</v>
      </c>
      <c r="BH7" s="1" t="s">
        <v>30</v>
      </c>
      <c r="BI7" s="1" t="s">
        <v>19</v>
      </c>
      <c r="BJ7" s="1" t="s">
        <v>22</v>
      </c>
      <c r="BK7" s="1" t="s">
        <v>9</v>
      </c>
      <c r="BL7" s="1" t="s">
        <v>26</v>
      </c>
      <c r="BM7" s="1" t="s">
        <v>30</v>
      </c>
      <c r="BN7" s="1" t="s">
        <v>12</v>
      </c>
      <c r="BO7" s="1" t="s">
        <v>22</v>
      </c>
      <c r="BP7" s="1" t="s">
        <v>0</v>
      </c>
      <c r="BQ7" s="1" t="s">
        <v>26</v>
      </c>
      <c r="BR7" s="1" t="s">
        <v>30</v>
      </c>
      <c r="BS7" s="1" t="s">
        <v>19</v>
      </c>
      <c r="BT7" s="1" t="s">
        <v>22</v>
      </c>
      <c r="BU7" s="1" t="s">
        <v>9</v>
      </c>
      <c r="BV7" s="1" t="s">
        <v>26</v>
      </c>
      <c r="BW7" s="1" t="s">
        <v>30</v>
      </c>
      <c r="BX7" s="1" t="s">
        <v>12</v>
      </c>
      <c r="BY7" s="1" t="s">
        <v>22</v>
      </c>
      <c r="BZ7" s="1" t="s">
        <v>0</v>
      </c>
      <c r="CA7" s="1" t="s">
        <v>26</v>
      </c>
      <c r="CB7" s="1" t="s">
        <v>30</v>
      </c>
      <c r="CC7" s="1" t="s">
        <v>19</v>
      </c>
      <c r="CD7" s="1" t="s">
        <v>22</v>
      </c>
      <c r="CE7" s="1" t="s">
        <v>15</v>
      </c>
      <c r="CF7" s="1" t="s">
        <v>26</v>
      </c>
      <c r="CG7" s="1" t="s">
        <v>30</v>
      </c>
      <c r="CH7" s="1" t="s">
        <v>12</v>
      </c>
      <c r="CI7" s="1" t="s">
        <v>22</v>
      </c>
      <c r="CJ7" s="1" t="s">
        <v>36</v>
      </c>
      <c r="CK7" s="1" t="s">
        <v>26</v>
      </c>
      <c r="CL7" s="1" t="s">
        <v>30</v>
      </c>
      <c r="CM7" s="1" t="s">
        <v>19</v>
      </c>
      <c r="CN7" s="1" t="s">
        <v>22</v>
      </c>
      <c r="CO7" s="1" t="s">
        <v>9</v>
      </c>
      <c r="CP7" s="1" t="s">
        <v>26</v>
      </c>
      <c r="CQ7" s="1" t="s">
        <v>30</v>
      </c>
      <c r="CR7" s="1" t="s">
        <v>12</v>
      </c>
      <c r="CS7" s="1" t="s">
        <v>22</v>
      </c>
      <c r="CT7" s="1" t="s">
        <v>0</v>
      </c>
      <c r="CU7" s="1" t="s">
        <v>26</v>
      </c>
      <c r="CV7" s="1" t="s">
        <v>30</v>
      </c>
      <c r="CW7" s="1" t="s">
        <v>19</v>
      </c>
      <c r="CX7" s="1" t="s">
        <v>26</v>
      </c>
      <c r="CY7" s="1" t="s">
        <v>30</v>
      </c>
      <c r="CZ7" s="6"/>
      <c r="DA7" s="1" t="s">
        <v>35</v>
      </c>
      <c r="DB7" s="1" t="s">
        <v>34</v>
      </c>
      <c r="DC7" s="6"/>
    </row>
    <row r="8" spans="1:10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</row>
    <row r="9" spans="1:107" x14ac:dyDescent="0.3">
      <c r="A9" s="1"/>
      <c r="B9" s="1"/>
      <c r="C9" s="1"/>
      <c r="D9" s="1"/>
      <c r="E9" s="1"/>
      <c r="F9" s="1"/>
      <c r="G9" s="11" t="s">
        <v>33</v>
      </c>
      <c r="H9" s="11"/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</row>
    <row r="10" spans="1:107" ht="28.8" x14ac:dyDescent="0.3">
      <c r="A10" s="1"/>
      <c r="B10" s="1"/>
      <c r="C10" s="10" t="str">
        <f>A2</f>
        <v>Free</v>
      </c>
      <c r="D10" s="10" t="str">
        <f>A4</f>
        <v>Mana Pass</v>
      </c>
      <c r="E10" s="9" t="str">
        <f>A6</f>
        <v>Mana Pass Plus</v>
      </c>
      <c r="F10" s="1"/>
      <c r="G10" s="10" t="str">
        <f>A2</f>
        <v>Free</v>
      </c>
      <c r="H10" s="10" t="str">
        <f>A4</f>
        <v>Mana Pass</v>
      </c>
      <c r="I10" s="9" t="str">
        <f>A6</f>
        <v>Mana Pass Plus</v>
      </c>
      <c r="J10" s="1"/>
      <c r="K10" s="6" t="s">
        <v>32</v>
      </c>
      <c r="L10" s="6"/>
      <c r="M10" s="6"/>
      <c r="N10" s="6"/>
      <c r="O10" s="1"/>
      <c r="P10" s="6" t="s">
        <v>31</v>
      </c>
      <c r="Q10" s="6"/>
      <c r="R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</row>
    <row r="11" spans="1:107" x14ac:dyDescent="0.3">
      <c r="A11" s="1"/>
      <c r="B11" s="1" t="s">
        <v>30</v>
      </c>
      <c r="C11" s="1">
        <f>SUMIF($C$3:$CY$3, "Gold", $C$2:$CY$2)</f>
        <v>1250</v>
      </c>
      <c r="D11" s="1">
        <f>SUMIF($C$5:$CY$5, "Gold", $C$4:$CY$4)</f>
        <v>1625</v>
      </c>
      <c r="E11" s="1">
        <f>SUMIF($C$7:$CY$7, "Gold", $C$6:$CY$6)</f>
        <v>1875</v>
      </c>
      <c r="F11" s="1"/>
      <c r="G11" s="1">
        <f>C11</f>
        <v>1250</v>
      </c>
      <c r="H11" s="1">
        <f>SUM(C11:D11)</f>
        <v>2875</v>
      </c>
      <c r="I11" s="1">
        <f>SUM(C11:E11)</f>
        <v>4750</v>
      </c>
      <c r="J11" s="1"/>
      <c r="K11" s="6" t="s">
        <v>29</v>
      </c>
      <c r="L11" s="6"/>
      <c r="M11" s="8" t="s">
        <v>28</v>
      </c>
      <c r="N11" s="3" t="s">
        <v>3</v>
      </c>
      <c r="O11" s="1"/>
      <c r="P11" s="6" t="s">
        <v>27</v>
      </c>
      <c r="Q11" s="6"/>
      <c r="R11" s="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 x14ac:dyDescent="0.3">
      <c r="A12" s="1"/>
      <c r="B12" s="1" t="s">
        <v>26</v>
      </c>
      <c r="C12" s="1">
        <f>SUMIF($C$3:$CY$3, "Card Piece", $C$2:$CY$2)</f>
        <v>2500</v>
      </c>
      <c r="D12" s="1">
        <f>SUMIF($C$5:$CY$5, "Card Piece", $C$4:$CY$4)</f>
        <v>3250</v>
      </c>
      <c r="E12" s="1">
        <f>SUMIF($C$7:$CY$7, "Card Piece", $C$6:$CY$6)</f>
        <v>3750</v>
      </c>
      <c r="F12" s="1"/>
      <c r="G12" s="1">
        <f>C12</f>
        <v>2500</v>
      </c>
      <c r="H12" s="1">
        <f>SUM(C12:D12)</f>
        <v>5750</v>
      </c>
      <c r="I12" s="1">
        <f>SUM(C12:E12)</f>
        <v>9500</v>
      </c>
      <c r="J12" s="1"/>
      <c r="K12" s="6" t="s">
        <v>25</v>
      </c>
      <c r="L12" s="6"/>
      <c r="M12" s="7" t="s">
        <v>24</v>
      </c>
      <c r="N12" s="3" t="s">
        <v>3</v>
      </c>
      <c r="O12" s="1"/>
      <c r="P12" s="6" t="s">
        <v>23</v>
      </c>
      <c r="Q12" s="6"/>
      <c r="R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 x14ac:dyDescent="0.3">
      <c r="A13" s="1"/>
      <c r="B13" s="1" t="s">
        <v>22</v>
      </c>
      <c r="C13" s="1">
        <f>SUMIF($C$3:$CY$3, "Card Shard", $C$2:$CY$2)</f>
        <v>40</v>
      </c>
      <c r="D13" s="1">
        <f>SUMIF($C$5:$CY$5, "Card Shard",$C$4:$CY$4)</f>
        <v>70</v>
      </c>
      <c r="E13" s="1">
        <f>SUMIF($C$7:$CY$7, "Card Shard", $C$6:$CY$6)</f>
        <v>90</v>
      </c>
      <c r="F13" s="1"/>
      <c r="G13" s="1">
        <f>C13</f>
        <v>40</v>
      </c>
      <c r="H13" s="1">
        <f>SUM(C13:D13)</f>
        <v>110</v>
      </c>
      <c r="I13" s="1">
        <f>SUM(C13:E13)</f>
        <v>200</v>
      </c>
      <c r="J13" s="1"/>
      <c r="K13" s="6" t="s">
        <v>21</v>
      </c>
      <c r="L13" s="6"/>
      <c r="M13" s="7" t="s">
        <v>20</v>
      </c>
      <c r="N13" s="3" t="s">
        <v>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 x14ac:dyDescent="0.3">
      <c r="A14" s="1"/>
      <c r="B14" s="1" t="s">
        <v>19</v>
      </c>
      <c r="C14" s="1">
        <f>SUMIF($C$3:$CY$3, "Ruby Piece", $C$2:$CY$2)</f>
        <v>50</v>
      </c>
      <c r="D14" s="1">
        <f>SUMIF($C$5:$CY$5, "Ruby Piece", $C$4:$CY$4)</f>
        <v>80</v>
      </c>
      <c r="E14" s="1">
        <f>SUMIF($C$7:$CY$7, "Ruby Piece", $C$6:$CY$6)</f>
        <v>120</v>
      </c>
      <c r="F14" s="1"/>
      <c r="G14" s="1">
        <f>C14</f>
        <v>50</v>
      </c>
      <c r="H14" s="1">
        <f>SUM(C14:D14)</f>
        <v>130</v>
      </c>
      <c r="I14" s="1">
        <f>SUM(C14:E14)</f>
        <v>250</v>
      </c>
      <c r="J14" s="1"/>
      <c r="K14" s="6" t="s">
        <v>18</v>
      </c>
      <c r="L14" s="6"/>
      <c r="M14" s="7" t="s">
        <v>17</v>
      </c>
      <c r="N14" s="3" t="s">
        <v>3</v>
      </c>
      <c r="O14" s="1"/>
      <c r="P14" s="1"/>
      <c r="Q14" s="1" t="s">
        <v>16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 x14ac:dyDescent="0.3">
      <c r="A15" s="1"/>
      <c r="B15" s="1" t="s">
        <v>15</v>
      </c>
      <c r="C15" s="1">
        <f>SUMIF($C$3:$CY$3, "Dungeon Key", $C$2:$CY$2)</f>
        <v>5</v>
      </c>
      <c r="D15" s="1">
        <f>SUMIF($C$5:$CY$5, "Dungeon Key", $C$4:$CY$4)</f>
        <v>5</v>
      </c>
      <c r="E15" s="1">
        <f>SUMIF($C$7:$CY$7, "Dungeon Key", $C$6:$CY$6)</f>
        <v>5</v>
      </c>
      <c r="F15" s="1"/>
      <c r="G15" s="1">
        <f>C15</f>
        <v>5</v>
      </c>
      <c r="H15" s="1">
        <f>SUM(C15:D15)</f>
        <v>10</v>
      </c>
      <c r="I15" s="1">
        <f>SUM(C15:E15)</f>
        <v>15</v>
      </c>
      <c r="J15" s="1"/>
      <c r="K15" s="6" t="s">
        <v>14</v>
      </c>
      <c r="L15" s="6"/>
      <c r="M15" s="7" t="s">
        <v>13</v>
      </c>
      <c r="N15" s="3" t="s">
        <v>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 x14ac:dyDescent="0.3">
      <c r="A16" s="1"/>
      <c r="B16" s="1" t="s">
        <v>12</v>
      </c>
      <c r="C16" s="1">
        <f>SUMIF($C$3:$CY$3, "Tower Gear Piece", $C$2:$CY$2)</f>
        <v>20</v>
      </c>
      <c r="D16" s="1">
        <f>SUMIF($C$5:$CY$5, "Tower Gear Piece", $C$4:$CY$4)</f>
        <v>30</v>
      </c>
      <c r="E16" s="1">
        <f>SUMIF($C$7:$CY$7, "Tower Gear Piece", $C$6:$CY$6)</f>
        <v>50</v>
      </c>
      <c r="F16" s="1"/>
      <c r="G16" s="1">
        <f>C16</f>
        <v>20</v>
      </c>
      <c r="H16" s="1">
        <f>SUM(C16:D16)</f>
        <v>50</v>
      </c>
      <c r="I16" s="1">
        <f>SUM(C16:E16)</f>
        <v>100</v>
      </c>
      <c r="J16" s="1"/>
      <c r="K16" s="6" t="s">
        <v>11</v>
      </c>
      <c r="L16" s="6"/>
      <c r="M16" s="7" t="s">
        <v>10</v>
      </c>
      <c r="N16" s="3" t="s">
        <v>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 x14ac:dyDescent="0.3">
      <c r="A17" s="1"/>
      <c r="B17" s="1" t="s">
        <v>9</v>
      </c>
      <c r="C17" s="1">
        <f>SUMIF($C$3:$CY$3, "Power Up Piece", $C$2:$CY$2)</f>
        <v>3</v>
      </c>
      <c r="D17" s="1">
        <f>SUMIF($C$5:$CY$5, "Power Up Piece", $C$4:$CY$4)</f>
        <v>5</v>
      </c>
      <c r="E17" s="1">
        <f>SUMIF($C$7:$CY$7, "Power Up Piece", $C$6:$CY$6)</f>
        <v>5</v>
      </c>
      <c r="F17" s="1"/>
      <c r="G17" s="1">
        <f>C17</f>
        <v>3</v>
      </c>
      <c r="H17" s="1">
        <f>SUM(C17:D17)</f>
        <v>8</v>
      </c>
      <c r="I17" s="1">
        <f>SUM(C17:E17)</f>
        <v>13</v>
      </c>
      <c r="J17" s="1"/>
      <c r="K17" s="6" t="s">
        <v>8</v>
      </c>
      <c r="L17" s="6"/>
      <c r="M17" s="7" t="s">
        <v>7</v>
      </c>
      <c r="N17" s="3" t="s">
        <v>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 x14ac:dyDescent="0.3">
      <c r="A18" s="1"/>
      <c r="B18" s="1" t="s">
        <v>6</v>
      </c>
      <c r="C18" s="1">
        <f>SUMIF($C$3:$CY$3, "Mundane chest", $C$2:$CY$2)</f>
        <v>3</v>
      </c>
      <c r="D18" s="1">
        <f>SUMIF($C$5:$CY$5, "Mundane chest", $C$4:$CY$4)</f>
        <v>2</v>
      </c>
      <c r="E18" s="1">
        <f>SUMIF($C$7:$CY$7, "Mundane chest", $C$6:$CY$6)</f>
        <v>0</v>
      </c>
      <c r="F18" s="1"/>
      <c r="G18" s="1">
        <f>C18</f>
        <v>3</v>
      </c>
      <c r="H18" s="1">
        <f>SUM(C18:D18)</f>
        <v>5</v>
      </c>
      <c r="I18" s="1">
        <f>SUM(C18:E18)</f>
        <v>5</v>
      </c>
      <c r="J18" s="1"/>
      <c r="K18" s="6" t="s">
        <v>5</v>
      </c>
      <c r="L18" s="6"/>
      <c r="M18" s="5" t="s">
        <v>4</v>
      </c>
      <c r="N18" s="3" t="s">
        <v>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 x14ac:dyDescent="0.3">
      <c r="A19" s="1"/>
      <c r="B19" s="1" t="s">
        <v>2</v>
      </c>
      <c r="C19" s="1">
        <f>SUMIF($C$3:$CY$3, "Familiar chest", $C$2:$CY$2)</f>
        <v>2</v>
      </c>
      <c r="D19" s="1">
        <f>SUMIF($C$5:$CY$5, "Familiar chest", $C$4:$CY$4)</f>
        <v>3</v>
      </c>
      <c r="E19" s="1">
        <f>SUMIF($C$7:$CY$7, "Familiar chest", $C$6:$CY$6)</f>
        <v>0</v>
      </c>
      <c r="F19" s="1"/>
      <c r="G19" s="1">
        <f>C19</f>
        <v>2</v>
      </c>
      <c r="H19" s="1">
        <f>SUM(C19:D19)</f>
        <v>5</v>
      </c>
      <c r="I19" s="1">
        <f>SUM(C19:E19)</f>
        <v>5</v>
      </c>
      <c r="J19" s="1"/>
      <c r="K19" s="1"/>
      <c r="L19" s="1"/>
      <c r="M19" s="5"/>
      <c r="N19" s="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 x14ac:dyDescent="0.3">
      <c r="A20" s="1"/>
      <c r="B20" s="1" t="s">
        <v>1</v>
      </c>
      <c r="C20" s="1">
        <f>SUMIF($C$3:$CY$3, "arcane sandıq", $C$2:$CY$2)</f>
        <v>0</v>
      </c>
      <c r="D20" s="1">
        <f>SUMIF($C$5:$CY$5, "arcane sandıq", $C$4:$CY$4)</f>
        <v>4</v>
      </c>
      <c r="E20" s="1">
        <f>SUMIF($C$7:$CY$7, "arcane sandıq", $C$6:$CY$6)</f>
        <v>1</v>
      </c>
      <c r="F20" s="1"/>
      <c r="G20" s="1">
        <f>C20</f>
        <v>0</v>
      </c>
      <c r="H20" s="1">
        <f>SUM(C20:D20)</f>
        <v>4</v>
      </c>
      <c r="I20" s="1">
        <f>SUM(C20:E20)</f>
        <v>5</v>
      </c>
      <c r="J20" s="1"/>
      <c r="K20" s="1"/>
      <c r="L20" s="1"/>
      <c r="M20" s="5"/>
      <c r="N20" s="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</row>
    <row r="21" spans="1:107" x14ac:dyDescent="0.3">
      <c r="A21" s="1"/>
      <c r="B21" s="1" t="s">
        <v>0</v>
      </c>
      <c r="C21" s="1">
        <f>SUMIF($C$3:$CY$3, "Relic chest", $C$2:$CY$2)</f>
        <v>0</v>
      </c>
      <c r="D21" s="1">
        <f>SUMIF($C$5:$CY$5, "Relic chest", $C$4:$CY$4)</f>
        <v>0</v>
      </c>
      <c r="E21" s="1">
        <f>SUMIF($C$7:$CY$7, "Relic chest", $C$6:$CY$6)</f>
        <v>5</v>
      </c>
      <c r="F21" s="1"/>
      <c r="G21" s="1">
        <f>C21</f>
        <v>0</v>
      </c>
      <c r="H21" s="1">
        <f>SUM(C21:D21)</f>
        <v>0</v>
      </c>
      <c r="I21" s="1">
        <f>SUM(C21:E21)</f>
        <v>5</v>
      </c>
      <c r="J21" s="1"/>
      <c r="K21" s="1"/>
      <c r="L21" s="1"/>
      <c r="M21" s="5"/>
      <c r="N21" s="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</row>
    <row r="22" spans="1:107" x14ac:dyDescent="0.3">
      <c r="A22" s="1"/>
      <c r="B22" s="1"/>
      <c r="C22" s="1"/>
      <c r="D22" s="1"/>
      <c r="E22" s="1"/>
      <c r="F22" s="1"/>
      <c r="G22" s="2">
        <f>B2</f>
        <v>0</v>
      </c>
      <c r="H22" s="2">
        <f>B4</f>
        <v>5.99</v>
      </c>
      <c r="I22" s="2">
        <f>B6</f>
        <v>11.99</v>
      </c>
      <c r="J22" s="1"/>
      <c r="K22" s="1"/>
      <c r="L22" s="1"/>
      <c r="M22" s="4"/>
      <c r="N22" s="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</row>
    <row r="23" spans="1:107" x14ac:dyDescent="0.3">
      <c r="A23" s="1"/>
      <c r="B23" s="1"/>
      <c r="C23" s="1"/>
      <c r="D23" s="1"/>
      <c r="E23" s="1"/>
      <c r="F23" s="1"/>
      <c r="G23" s="2"/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</row>
  </sheetData>
  <mergeCells count="28">
    <mergeCell ref="A2:A3"/>
    <mergeCell ref="B2:B3"/>
    <mergeCell ref="CZ2:CZ3"/>
    <mergeCell ref="DC2:DC3"/>
    <mergeCell ref="A4:A5"/>
    <mergeCell ref="B4:B5"/>
    <mergeCell ref="CZ4:CZ5"/>
    <mergeCell ref="DC4:DC5"/>
    <mergeCell ref="A6:A7"/>
    <mergeCell ref="B6:B7"/>
    <mergeCell ref="CZ6:CZ7"/>
    <mergeCell ref="DC6:DC7"/>
    <mergeCell ref="G9:I9"/>
    <mergeCell ref="K10:N10"/>
    <mergeCell ref="P10:R10"/>
    <mergeCell ref="K11:L11"/>
    <mergeCell ref="P11:R11"/>
    <mergeCell ref="K12:L12"/>
    <mergeCell ref="P12:R12"/>
    <mergeCell ref="K13:L13"/>
    <mergeCell ref="K14:L14"/>
    <mergeCell ref="K15:L15"/>
    <mergeCell ref="K16:L16"/>
    <mergeCell ref="K17:L17"/>
    <mergeCell ref="K18:L18"/>
    <mergeCell ref="G22:G23"/>
    <mergeCell ref="H22:H23"/>
    <mergeCell ref="I22:I23"/>
  </mergeCells>
  <conditionalFormatting sqref="A1:DC2 DA3:DB7 A4:CZ4 A6:CZ6 A8:DC9 O10:P10 S10:DC12 M11:O11 A19:DC23 A3:CY3 A5:CY5 A7:CY7 A10:K18 O13:DC18 O12:P12 M12:N18 DC4 DC6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KiNGHaZe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Sebine Memmedova</dc:creator>
  <cp:lastModifiedBy>Sebine Memmedova</cp:lastModifiedBy>
  <dcterms:created xsi:type="dcterms:W3CDTF">2026-05-30T19:06:44Z</dcterms:created>
  <dcterms:modified xsi:type="dcterms:W3CDTF">2026-05-30T19:06:57Z</dcterms:modified>
</cp:coreProperties>
</file>